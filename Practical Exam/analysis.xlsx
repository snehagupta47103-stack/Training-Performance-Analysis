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F0CCEDBC-9F4D-4175-99DA-270D7A7C39A0}" xr6:coauthVersionLast="47" xr6:coauthVersionMax="47" xr10:uidLastSave="{00000000-0000-0000-0000-000000000000}"/>
  <bookViews>
    <workbookView xWindow="-108" yWindow="-108" windowWidth="23256" windowHeight="12456" activeTab="3" xr2:uid="{15D5439E-308A-4FE4-9BDF-C66A897874C5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B4" i="4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</calcChain>
</file>

<file path=xl/sharedStrings.xml><?xml version="1.0" encoding="utf-8"?>
<sst xmlns="http://schemas.openxmlformats.org/spreadsheetml/2006/main" count="165" uniqueCount="33">
  <si>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</si>
  <si>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</si>
  <si>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</si>
  <si>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</si>
  <si>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</si>
  <si>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</si>
  <si>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</si>
  <si>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</si>
  <si>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</si>
  <si>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</si>
  <si>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</si>
  <si>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</si>
  <si>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</si>
  <si>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</si>
  <si>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</si>
  <si>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</si>
  <si>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</si>
  <si>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</si>
  <si>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</si>
  <si>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</si>
  <si>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</si>
  <si>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</si>
  <si>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</si>
  <si>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</si>
  <si>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Removing Duplicate</t>
  </si>
  <si>
    <t>Department</t>
  </si>
  <si>
    <t>Pass_Flag</t>
  </si>
  <si>
    <t>Batch</t>
  </si>
  <si>
    <t>Passing Assessments</t>
  </si>
  <si>
    <t>Row Labels</t>
  </si>
  <si>
    <t>Grand Total</t>
  </si>
  <si>
    <t>Column Labels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</si>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</sst>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0" xfId="0" applyBorder="1" applyAlignment="1">
      <alignment horizontal="center"/>
    </xf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Score by Department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Summary!$E$3:$E$4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Summary!$D$5:$D$7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Summary!$E$5:$E$7</c:f>
              <c:numCache>
                <c:formatCode>General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B-4663-8A4D-1107C3BEAD09}"/>
            </c:ext>
          </c:extLst>
        </c:ser>
        <c:ser>
          <c:idx val="1"/>
          <c:order val="1"/>
          <c:tx>
            <c:strRef>
              <c:f>Summary!$F$3:$F$4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Summary!$D$5:$D$7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Summary!$F$5:$F$7</c:f>
              <c:numCache>
                <c:formatCode>General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B-4663-8A4D-1107C3BEAD09}"/>
            </c:ext>
          </c:extLst>
        </c:ser>
        <c:ser>
          <c:idx val="2"/>
          <c:order val="2"/>
          <c:tx>
            <c:strRef>
              <c:f>Summary!$G$3:$G$4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Summary!$D$5:$D$7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Summary!$G$5:$G$7</c:f>
              <c:numCache>
                <c:formatCode>General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DB-4663-8A4D-1107C3BEAD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0453056"/>
        <c:axId val="252479536"/>
      </c:barChart>
      <c:catAx>
        <c:axId val="1504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79536"/>
        <c:crosses val="autoZero"/>
        <c:auto val="1"/>
        <c:lblAlgn val="ctr"/>
        <c:lblOffset val="100"/>
        <c:noMultiLvlLbl val="0"/>
      </c:catAx>
      <c:valAx>
        <c:axId val="2524795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4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7816</xdr:rowOff>
    </xdr:from>
    <xdr:to>
      <xdr:col>4</xdr:col>
      <xdr:colOff>800100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7156D-BAFB-917B-26F5-56AEFF183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" refreshedDate="46291.8121537037" createdVersion="8" refreshedVersion="8" minRefreshableVersion="3" recordCount="12" xr:uid="{EDA5414D-409C-4ACF-AC4D-0D07B66A4E6B}">
  <cacheSource type="worksheet">
    <worksheetSource ref="A3:H15" sheet="Clean"/>
  </cacheSource>
  <cacheFields count="8">
    <cacheField name="assessmen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51BA2-28C1-4292-90AB-2D6B8A4C3B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3:H7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0767-BBFA-4A7B-BF79-E3C711861028}">
  <dimension ref="A1:F14"/>
  <sheetViews>
    <sheetView workbookViewId="0">
      <selection sqref="A1:F14"/>
    </sheetView>
  </sheetViews>
  <sheetFormatPr defaultRowHeight="14.4" x14ac:dyDescent="0.3"/>
  <cols>
    <col min="1" max="1" width="17.44140625" customWidth="1"/>
    <col min="3" max="3" width="11" customWidth="1"/>
    <col min="4" max="4" width="10.88671875" customWidth="1"/>
    <col min="6" max="6" width="17.77734375" customWidth="1"/>
  </cols>
  <sheetData>
    <row r="1" spans="1:6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x14ac:dyDescent="0.3">
      <c r="A2" s="7">
        <v>1</v>
      </c>
      <c r="B2" s="8" t="s">
        <v>6</v>
      </c>
      <c r="C2" s="8" t="s">
        <v>7</v>
      </c>
      <c r="D2" s="8" t="s">
        <v>8</v>
      </c>
      <c r="E2" s="8">
        <v>72</v>
      </c>
      <c r="F2" s="9">
        <v>90</v>
      </c>
    </row>
    <row r="3" spans="1:6" x14ac:dyDescent="0.3">
      <c r="A3" s="2">
        <v>2</v>
      </c>
      <c r="B3" s="1" t="s">
        <v>6</v>
      </c>
      <c r="C3" s="1" t="s">
        <v>9</v>
      </c>
      <c r="D3" s="1" t="s">
        <v>10</v>
      </c>
      <c r="E3" s="1">
        <v>45</v>
      </c>
      <c r="F3" s="3">
        <v>70</v>
      </c>
    </row>
    <row r="4" spans="1:6" x14ac:dyDescent="0.3">
      <c r="A4" s="2">
        <v>3</v>
      </c>
      <c r="B4" s="1" t="s">
        <v>6</v>
      </c>
      <c r="C4" s="1" t="s">
        <v>11</v>
      </c>
      <c r="D4" s="1" t="s">
        <v>8</v>
      </c>
      <c r="E4" s="1">
        <v>65</v>
      </c>
      <c r="F4" s="3">
        <v>85</v>
      </c>
    </row>
    <row r="5" spans="1:6" x14ac:dyDescent="0.3">
      <c r="A5" s="2">
        <v>4</v>
      </c>
      <c r="B5" s="1" t="s">
        <v>6</v>
      </c>
      <c r="C5" s="1" t="s">
        <v>12</v>
      </c>
      <c r="D5" s="1" t="s">
        <v>13</v>
      </c>
      <c r="E5" s="1">
        <v>38</v>
      </c>
      <c r="F5" s="3">
        <v>60</v>
      </c>
    </row>
    <row r="6" spans="1:6" x14ac:dyDescent="0.3">
      <c r="A6" s="2">
        <v>5</v>
      </c>
      <c r="B6" s="1" t="s">
        <v>14</v>
      </c>
      <c r="C6" s="1" t="s">
        <v>7</v>
      </c>
      <c r="D6" s="1" t="s">
        <v>10</v>
      </c>
      <c r="E6" s="1">
        <v>80</v>
      </c>
      <c r="F6" s="3">
        <v>95</v>
      </c>
    </row>
    <row r="7" spans="1:6" x14ac:dyDescent="0.3">
      <c r="A7" s="2">
        <v>6</v>
      </c>
      <c r="B7" s="1" t="s">
        <v>14</v>
      </c>
      <c r="C7" s="1" t="s">
        <v>9</v>
      </c>
      <c r="D7" s="1" t="s">
        <v>13</v>
      </c>
      <c r="E7" s="1">
        <v>55</v>
      </c>
      <c r="F7" s="3">
        <v>80</v>
      </c>
    </row>
    <row r="8" spans="1:6" x14ac:dyDescent="0.3">
      <c r="A8" s="2">
        <v>7</v>
      </c>
      <c r="B8" s="1" t="s">
        <v>14</v>
      </c>
      <c r="C8" s="1" t="s">
        <v>11</v>
      </c>
      <c r="D8" s="1" t="s">
        <v>8</v>
      </c>
      <c r="E8" s="1">
        <v>48</v>
      </c>
      <c r="F8" s="3">
        <v>75</v>
      </c>
    </row>
    <row r="9" spans="1:6" x14ac:dyDescent="0.3">
      <c r="A9" s="2">
        <v>8</v>
      </c>
      <c r="B9" s="1" t="s">
        <v>14</v>
      </c>
      <c r="C9" s="1" t="s">
        <v>12</v>
      </c>
      <c r="D9" s="1" t="s">
        <v>10</v>
      </c>
      <c r="E9" s="1">
        <v>68</v>
      </c>
      <c r="F9" s="3">
        <v>88</v>
      </c>
    </row>
    <row r="10" spans="1:6" x14ac:dyDescent="0.3">
      <c r="A10" s="2">
        <v>9</v>
      </c>
      <c r="B10" s="1" t="s">
        <v>15</v>
      </c>
      <c r="C10" s="1" t="s">
        <v>7</v>
      </c>
      <c r="D10" s="1" t="s">
        <v>13</v>
      </c>
      <c r="E10" s="1">
        <v>90</v>
      </c>
      <c r="F10" s="3">
        <v>98</v>
      </c>
    </row>
    <row r="11" spans="1:6" x14ac:dyDescent="0.3">
      <c r="A11" s="2">
        <v>10</v>
      </c>
      <c r="B11" s="1" t="s">
        <v>15</v>
      </c>
      <c r="C11" s="1" t="s">
        <v>9</v>
      </c>
      <c r="D11" s="1" t="s">
        <v>8</v>
      </c>
      <c r="E11" s="1">
        <v>60</v>
      </c>
      <c r="F11" s="3">
        <v>82</v>
      </c>
    </row>
    <row r="12" spans="1:6" x14ac:dyDescent="0.3">
      <c r="A12" s="2">
        <v>11</v>
      </c>
      <c r="B12" s="1" t="s">
        <v>15</v>
      </c>
      <c r="C12" s="1" t="s">
        <v>11</v>
      </c>
      <c r="D12" s="1" t="s">
        <v>10</v>
      </c>
      <c r="E12" s="1">
        <v>75</v>
      </c>
      <c r="F12" s="3">
        <v>92</v>
      </c>
    </row>
    <row r="13" spans="1:6" x14ac:dyDescent="0.3">
      <c r="A13" s="2">
        <v>12</v>
      </c>
      <c r="B13" s="1" t="s">
        <v>15</v>
      </c>
      <c r="C13" s="1" t="s">
        <v>12</v>
      </c>
      <c r="D13" s="1" t="s">
        <v>13</v>
      </c>
      <c r="E13" s="1">
        <v>42</v>
      </c>
      <c r="F13" s="3">
        <v>65</v>
      </c>
    </row>
    <row r="14" spans="1:6" ht="15" thickBot="1" x14ac:dyDescent="0.35">
      <c r="A14" s="4">
        <v>12</v>
      </c>
      <c r="B14" s="5" t="s">
        <v>15</v>
      </c>
      <c r="C14" s="5" t="s">
        <v>12</v>
      </c>
      <c r="D14" s="5" t="s">
        <v>13</v>
      </c>
      <c r="E14" s="5">
        <v>42</v>
      </c>
      <c r="F14" s="6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D07-C349-416B-B836-D55DDA8ABC06}">
  <dimension ref="A1:C5"/>
  <sheetViews>
    <sheetView workbookViewId="0">
      <selection sqref="A1:C1"/>
    </sheetView>
  </sheetViews>
  <sheetFormatPr defaultRowHeight="14.4" x14ac:dyDescent="0.3"/>
  <cols>
    <col min="1" max="1" width="10.6640625" customWidth="1"/>
    <col min="2" max="2" width="10.77734375" customWidth="1"/>
    <col min="3" max="3" width="12.109375" customWidth="1"/>
  </cols>
  <sheetData>
    <row r="1" spans="1:3" ht="15" thickBot="1" x14ac:dyDescent="0.35">
      <c r="A1" s="10" t="s">
        <v>2</v>
      </c>
      <c r="B1" s="11" t="s">
        <v>16</v>
      </c>
      <c r="C1" s="12" t="s">
        <v>17</v>
      </c>
    </row>
    <row r="2" spans="1:3" x14ac:dyDescent="0.3">
      <c r="A2" s="7" t="s">
        <v>7</v>
      </c>
      <c r="B2" s="8" t="s">
        <v>18</v>
      </c>
      <c r="C2" s="9" t="s">
        <v>19</v>
      </c>
    </row>
    <row r="3" spans="1:3" x14ac:dyDescent="0.3">
      <c r="A3" s="2" t="s">
        <v>9</v>
      </c>
      <c r="B3" s="1" t="s">
        <v>20</v>
      </c>
      <c r="C3" s="3" t="s">
        <v>19</v>
      </c>
    </row>
    <row r="4" spans="1:3" x14ac:dyDescent="0.3">
      <c r="A4" s="2" t="s">
        <v>11</v>
      </c>
      <c r="B4" s="1" t="s">
        <v>21</v>
      </c>
      <c r="C4" s="3" t="s">
        <v>22</v>
      </c>
    </row>
    <row r="5" spans="1:3" ht="15" thickBot="1" x14ac:dyDescent="0.35">
      <c r="A5" s="4" t="s">
        <v>12</v>
      </c>
      <c r="B5" s="5" t="s">
        <v>23</v>
      </c>
      <c r="C5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E2B7-5E78-4B90-B880-5C182629E67B}">
  <dimension ref="A1:H31"/>
  <sheetViews>
    <sheetView workbookViewId="0">
      <selection activeCell="A3" sqref="A3:H15"/>
    </sheetView>
  </sheetViews>
  <sheetFormatPr defaultRowHeight="14.4" x14ac:dyDescent="0.3"/>
  <cols>
    <col min="1" max="1" width="17.6640625" customWidth="1"/>
    <col min="3" max="3" width="12.33203125" customWidth="1"/>
    <col min="4" max="4" width="11.109375" customWidth="1"/>
    <col min="6" max="6" width="17" customWidth="1"/>
    <col min="7" max="7" width="17.77734375" customWidth="1"/>
    <col min="8" max="8" width="11.6640625" customWidth="1"/>
  </cols>
  <sheetData>
    <row r="1" spans="1:8" ht="15" thickBot="1" x14ac:dyDescent="0.35">
      <c r="A1" s="15" t="s">
        <v>24</v>
      </c>
      <c r="B1" s="13"/>
      <c r="C1" s="13"/>
      <c r="D1" s="13"/>
      <c r="E1" s="13"/>
      <c r="F1" s="13"/>
    </row>
    <row r="2" spans="1:8" ht="15" thickBot="1" x14ac:dyDescent="0.35">
      <c r="A2" s="14"/>
      <c r="B2" s="14"/>
      <c r="C2" s="14"/>
      <c r="D2" s="14"/>
      <c r="E2" s="14"/>
      <c r="F2" s="14"/>
    </row>
    <row r="3" spans="1:8" ht="15" thickBot="1" x14ac:dyDescent="0.3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9" t="s">
        <v>5</v>
      </c>
      <c r="G3" s="26" t="s">
        <v>25</v>
      </c>
      <c r="H3" s="23" t="s">
        <v>26</v>
      </c>
    </row>
    <row r="4" spans="1:8" x14ac:dyDescent="0.3">
      <c r="A4" s="7">
        <v>1</v>
      </c>
      <c r="B4" s="8" t="s">
        <v>6</v>
      </c>
      <c r="C4" s="8" t="s">
        <v>7</v>
      </c>
      <c r="D4" s="8" t="s">
        <v>8</v>
      </c>
      <c r="E4" s="8">
        <v>72</v>
      </c>
      <c r="F4" s="20">
        <v>90</v>
      </c>
      <c r="G4" s="27" t="str">
        <f>_xlfn.XLOOKUP(C4,Lookup!$A$2:$A$5,Lookup!$C$2:$C$5)</f>
        <v>Business</v>
      </c>
      <c r="H4" s="24">
        <f>IF(E4&gt;=50,1,0)</f>
        <v>1</v>
      </c>
    </row>
    <row r="5" spans="1:8" x14ac:dyDescent="0.3">
      <c r="A5" s="2">
        <v>2</v>
      </c>
      <c r="B5" s="1" t="s">
        <v>6</v>
      </c>
      <c r="C5" s="1" t="s">
        <v>9</v>
      </c>
      <c r="D5" s="1" t="s">
        <v>10</v>
      </c>
      <c r="E5" s="1">
        <v>45</v>
      </c>
      <c r="F5" s="21">
        <v>70</v>
      </c>
      <c r="G5" s="28" t="str">
        <f>_xlfn.XLOOKUP(C5,Lookup!$A$2:$A$5,Lookup!$C$2:$C$5)</f>
        <v>Business</v>
      </c>
      <c r="H5" s="25">
        <f t="shared" ref="H5:H16" si="0">IF(E5&gt;=50,1,0)</f>
        <v>0</v>
      </c>
    </row>
    <row r="6" spans="1:8" x14ac:dyDescent="0.3">
      <c r="A6" s="2">
        <v>3</v>
      </c>
      <c r="B6" s="1" t="s">
        <v>6</v>
      </c>
      <c r="C6" s="1" t="s">
        <v>11</v>
      </c>
      <c r="D6" s="1" t="s">
        <v>8</v>
      </c>
      <c r="E6" s="1">
        <v>65</v>
      </c>
      <c r="F6" s="21">
        <v>85</v>
      </c>
      <c r="G6" s="28" t="str">
        <f>_xlfn.XLOOKUP(C6,Lookup!$A$2:$A$5,Lookup!$C$2:$C$5)</f>
        <v>Technology</v>
      </c>
      <c r="H6" s="25">
        <f t="shared" si="0"/>
        <v>1</v>
      </c>
    </row>
    <row r="7" spans="1:8" x14ac:dyDescent="0.3">
      <c r="A7" s="2">
        <v>4</v>
      </c>
      <c r="B7" s="1" t="s">
        <v>6</v>
      </c>
      <c r="C7" s="1" t="s">
        <v>12</v>
      </c>
      <c r="D7" s="1" t="s">
        <v>13</v>
      </c>
      <c r="E7" s="1">
        <v>38</v>
      </c>
      <c r="F7" s="21">
        <v>60</v>
      </c>
      <c r="G7" s="28" t="str">
        <f>_xlfn.XLOOKUP(C7,Lookup!$A$2:$A$5,Lookup!$C$2:$C$5)</f>
        <v>Technology</v>
      </c>
      <c r="H7" s="25">
        <f t="shared" si="0"/>
        <v>0</v>
      </c>
    </row>
    <row r="8" spans="1:8" x14ac:dyDescent="0.3">
      <c r="A8" s="2">
        <v>5</v>
      </c>
      <c r="B8" s="1" t="s">
        <v>14</v>
      </c>
      <c r="C8" s="1" t="s">
        <v>7</v>
      </c>
      <c r="D8" s="1" t="s">
        <v>10</v>
      </c>
      <c r="E8" s="1">
        <v>80</v>
      </c>
      <c r="F8" s="21">
        <v>95</v>
      </c>
      <c r="G8" s="28" t="str">
        <f>_xlfn.XLOOKUP(C8,Lookup!$A$2:$A$5,Lookup!$C$2:$C$5)</f>
        <v>Business</v>
      </c>
      <c r="H8" s="25">
        <f t="shared" si="0"/>
        <v>1</v>
      </c>
    </row>
    <row r="9" spans="1:8" x14ac:dyDescent="0.3">
      <c r="A9" s="2">
        <v>6</v>
      </c>
      <c r="B9" s="1" t="s">
        <v>14</v>
      </c>
      <c r="C9" s="1" t="s">
        <v>9</v>
      </c>
      <c r="D9" s="1" t="s">
        <v>13</v>
      </c>
      <c r="E9" s="1">
        <v>55</v>
      </c>
      <c r="F9" s="21">
        <v>80</v>
      </c>
      <c r="G9" s="28" t="str">
        <f>_xlfn.XLOOKUP(C9,Lookup!$A$2:$A$5,Lookup!$C$2:$C$5)</f>
        <v>Business</v>
      </c>
      <c r="H9" s="25">
        <f t="shared" si="0"/>
        <v>1</v>
      </c>
    </row>
    <row r="10" spans="1:8" x14ac:dyDescent="0.3">
      <c r="A10" s="2">
        <v>7</v>
      </c>
      <c r="B10" s="1" t="s">
        <v>14</v>
      </c>
      <c r="C10" s="1" t="s">
        <v>11</v>
      </c>
      <c r="D10" s="1" t="s">
        <v>8</v>
      </c>
      <c r="E10" s="1">
        <v>48</v>
      </c>
      <c r="F10" s="21">
        <v>75</v>
      </c>
      <c r="G10" s="28" t="str">
        <f>_xlfn.XLOOKUP(C10,Lookup!$A$2:$A$5,Lookup!$C$2:$C$5)</f>
        <v>Technology</v>
      </c>
      <c r="H10" s="25">
        <f t="shared" si="0"/>
        <v>0</v>
      </c>
    </row>
    <row r="11" spans="1:8" x14ac:dyDescent="0.3">
      <c r="A11" s="2">
        <v>8</v>
      </c>
      <c r="B11" s="1" t="s">
        <v>14</v>
      </c>
      <c r="C11" s="1" t="s">
        <v>12</v>
      </c>
      <c r="D11" s="1" t="s">
        <v>10</v>
      </c>
      <c r="E11" s="1">
        <v>68</v>
      </c>
      <c r="F11" s="21">
        <v>88</v>
      </c>
      <c r="G11" s="28" t="str">
        <f>_xlfn.XLOOKUP(C11,Lookup!$A$2:$A$5,Lookup!$C$2:$C$5)</f>
        <v>Technology</v>
      </c>
      <c r="H11" s="25">
        <f t="shared" si="0"/>
        <v>1</v>
      </c>
    </row>
    <row r="12" spans="1:8" x14ac:dyDescent="0.3">
      <c r="A12" s="2">
        <v>9</v>
      </c>
      <c r="B12" s="1" t="s">
        <v>15</v>
      </c>
      <c r="C12" s="1" t="s">
        <v>7</v>
      </c>
      <c r="D12" s="1" t="s">
        <v>13</v>
      </c>
      <c r="E12" s="1">
        <v>90</v>
      </c>
      <c r="F12" s="21">
        <v>98</v>
      </c>
      <c r="G12" s="28" t="str">
        <f>_xlfn.XLOOKUP(C12,Lookup!$A$2:$A$5,Lookup!$C$2:$C$5)</f>
        <v>Business</v>
      </c>
      <c r="H12" s="25">
        <f t="shared" si="0"/>
        <v>1</v>
      </c>
    </row>
    <row r="13" spans="1:8" x14ac:dyDescent="0.3">
      <c r="A13" s="2">
        <v>10</v>
      </c>
      <c r="B13" s="1" t="s">
        <v>15</v>
      </c>
      <c r="C13" s="1" t="s">
        <v>9</v>
      </c>
      <c r="D13" s="1" t="s">
        <v>8</v>
      </c>
      <c r="E13" s="1">
        <v>60</v>
      </c>
      <c r="F13" s="21">
        <v>82</v>
      </c>
      <c r="G13" s="28" t="str">
        <f>_xlfn.XLOOKUP(C13,Lookup!$A$2:$A$5,Lookup!$C$2:$C$5)</f>
        <v>Business</v>
      </c>
      <c r="H13" s="25">
        <f t="shared" si="0"/>
        <v>1</v>
      </c>
    </row>
    <row r="14" spans="1:8" x14ac:dyDescent="0.3">
      <c r="A14" s="2">
        <v>11</v>
      </c>
      <c r="B14" s="1" t="s">
        <v>15</v>
      </c>
      <c r="C14" s="1" t="s">
        <v>11</v>
      </c>
      <c r="D14" s="1" t="s">
        <v>10</v>
      </c>
      <c r="E14" s="1">
        <v>75</v>
      </c>
      <c r="F14" s="21">
        <v>92</v>
      </c>
      <c r="G14" s="28" t="str">
        <f>_xlfn.XLOOKUP(C14,Lookup!$A$2:$A$5,Lookup!$C$2:$C$5)</f>
        <v>Technology</v>
      </c>
      <c r="H14" s="25">
        <f t="shared" si="0"/>
        <v>1</v>
      </c>
    </row>
    <row r="15" spans="1:8" x14ac:dyDescent="0.3">
      <c r="A15" s="2">
        <v>12</v>
      </c>
      <c r="B15" s="1" t="s">
        <v>15</v>
      </c>
      <c r="C15" s="1" t="s">
        <v>12</v>
      </c>
      <c r="D15" s="1" t="s">
        <v>13</v>
      </c>
      <c r="E15" s="1">
        <v>42</v>
      </c>
      <c r="F15" s="21">
        <v>65</v>
      </c>
      <c r="G15" s="28" t="str">
        <f>_xlfn.XLOOKUP(C15,Lookup!$A$2:$A$5,Lookup!$C$2:$C$5)</f>
        <v>Technology</v>
      </c>
      <c r="H15" s="25">
        <f t="shared" si="0"/>
        <v>0</v>
      </c>
    </row>
    <row r="16" spans="1:8" ht="15" thickBot="1" x14ac:dyDescent="0.35">
      <c r="A16" s="4">
        <v>12</v>
      </c>
      <c r="B16" s="5" t="s">
        <v>15</v>
      </c>
      <c r="C16" s="5" t="s">
        <v>12</v>
      </c>
      <c r="D16" s="5" t="s">
        <v>13</v>
      </c>
      <c r="E16" s="5">
        <v>42</v>
      </c>
      <c r="F16" s="22">
        <v>65</v>
      </c>
      <c r="G16" s="29"/>
      <c r="H16" s="30"/>
    </row>
    <row r="17" spans="1:6" ht="15" thickBot="1" x14ac:dyDescent="0.35"/>
    <row r="18" spans="1:6" ht="15" thickBot="1" x14ac:dyDescent="0.35">
      <c r="A18" s="10" t="s">
        <v>0</v>
      </c>
      <c r="B18" s="11" t="s">
        <v>1</v>
      </c>
      <c r="C18" s="11" t="s">
        <v>2</v>
      </c>
      <c r="D18" s="11" t="s">
        <v>3</v>
      </c>
      <c r="E18" s="11" t="s">
        <v>4</v>
      </c>
      <c r="F18" s="12" t="s">
        <v>5</v>
      </c>
    </row>
    <row r="19" spans="1:6" x14ac:dyDescent="0.3">
      <c r="A19" s="7">
        <v>1</v>
      </c>
      <c r="B19" s="8" t="s">
        <v>6</v>
      </c>
      <c r="C19" s="8" t="s">
        <v>7</v>
      </c>
      <c r="D19" s="8" t="s">
        <v>8</v>
      </c>
      <c r="E19" s="8">
        <v>72</v>
      </c>
      <c r="F19" s="9">
        <v>90</v>
      </c>
    </row>
    <row r="20" spans="1:6" x14ac:dyDescent="0.3">
      <c r="A20" s="2">
        <v>2</v>
      </c>
      <c r="B20" s="1" t="s">
        <v>6</v>
      </c>
      <c r="C20" s="1" t="s">
        <v>9</v>
      </c>
      <c r="D20" s="1" t="s">
        <v>10</v>
      </c>
      <c r="E20" s="1">
        <v>45</v>
      </c>
      <c r="F20" s="3">
        <v>70</v>
      </c>
    </row>
    <row r="21" spans="1:6" x14ac:dyDescent="0.3">
      <c r="A21" s="2">
        <v>3</v>
      </c>
      <c r="B21" s="1" t="s">
        <v>6</v>
      </c>
      <c r="C21" s="1" t="s">
        <v>11</v>
      </c>
      <c r="D21" s="1" t="s">
        <v>8</v>
      </c>
      <c r="E21" s="1">
        <v>65</v>
      </c>
      <c r="F21" s="3">
        <v>85</v>
      </c>
    </row>
    <row r="22" spans="1:6" x14ac:dyDescent="0.3">
      <c r="A22" s="2">
        <v>4</v>
      </c>
      <c r="B22" s="1" t="s">
        <v>6</v>
      </c>
      <c r="C22" s="1" t="s">
        <v>12</v>
      </c>
      <c r="D22" s="1" t="s">
        <v>13</v>
      </c>
      <c r="E22" s="1">
        <v>38</v>
      </c>
      <c r="F22" s="3">
        <v>60</v>
      </c>
    </row>
    <row r="23" spans="1:6" x14ac:dyDescent="0.3">
      <c r="A23" s="2">
        <v>5</v>
      </c>
      <c r="B23" s="1" t="s">
        <v>14</v>
      </c>
      <c r="C23" s="1" t="s">
        <v>7</v>
      </c>
      <c r="D23" s="1" t="s">
        <v>10</v>
      </c>
      <c r="E23" s="1">
        <v>80</v>
      </c>
      <c r="F23" s="3">
        <v>95</v>
      </c>
    </row>
    <row r="24" spans="1:6" x14ac:dyDescent="0.3">
      <c r="A24" s="2">
        <v>6</v>
      </c>
      <c r="B24" s="1" t="s">
        <v>14</v>
      </c>
      <c r="C24" s="1" t="s">
        <v>9</v>
      </c>
      <c r="D24" s="1" t="s">
        <v>13</v>
      </c>
      <c r="E24" s="1">
        <v>55</v>
      </c>
      <c r="F24" s="3">
        <v>80</v>
      </c>
    </row>
    <row r="25" spans="1:6" x14ac:dyDescent="0.3">
      <c r="A25" s="2">
        <v>7</v>
      </c>
      <c r="B25" s="1" t="s">
        <v>14</v>
      </c>
      <c r="C25" s="1" t="s">
        <v>11</v>
      </c>
      <c r="D25" s="1" t="s">
        <v>8</v>
      </c>
      <c r="E25" s="1">
        <v>48</v>
      </c>
      <c r="F25" s="3">
        <v>75</v>
      </c>
    </row>
    <row r="26" spans="1:6" x14ac:dyDescent="0.3">
      <c r="A26" s="2">
        <v>8</v>
      </c>
      <c r="B26" s="1" t="s">
        <v>14</v>
      </c>
      <c r="C26" s="1" t="s">
        <v>12</v>
      </c>
      <c r="D26" s="1" t="s">
        <v>10</v>
      </c>
      <c r="E26" s="1">
        <v>68</v>
      </c>
      <c r="F26" s="3">
        <v>88</v>
      </c>
    </row>
    <row r="27" spans="1:6" x14ac:dyDescent="0.3">
      <c r="A27" s="2">
        <v>9</v>
      </c>
      <c r="B27" s="1" t="s">
        <v>15</v>
      </c>
      <c r="C27" s="1" t="s">
        <v>7</v>
      </c>
      <c r="D27" s="1" t="s">
        <v>13</v>
      </c>
      <c r="E27" s="1">
        <v>90</v>
      </c>
      <c r="F27" s="3">
        <v>98</v>
      </c>
    </row>
    <row r="28" spans="1:6" x14ac:dyDescent="0.3">
      <c r="A28" s="2">
        <v>10</v>
      </c>
      <c r="B28" s="1" t="s">
        <v>15</v>
      </c>
      <c r="C28" s="1" t="s">
        <v>9</v>
      </c>
      <c r="D28" s="1" t="s">
        <v>8</v>
      </c>
      <c r="E28" s="1">
        <v>60</v>
      </c>
      <c r="F28" s="3">
        <v>82</v>
      </c>
    </row>
    <row r="29" spans="1:6" x14ac:dyDescent="0.3">
      <c r="A29" s="2">
        <v>11</v>
      </c>
      <c r="B29" s="1" t="s">
        <v>15</v>
      </c>
      <c r="C29" s="1" t="s">
        <v>11</v>
      </c>
      <c r="D29" s="1" t="s">
        <v>10</v>
      </c>
      <c r="E29" s="1">
        <v>75</v>
      </c>
      <c r="F29" s="3">
        <v>92</v>
      </c>
    </row>
    <row r="30" spans="1:6" x14ac:dyDescent="0.3">
      <c r="A30" s="2">
        <v>12</v>
      </c>
      <c r="B30" s="1" t="s">
        <v>15</v>
      </c>
      <c r="C30" s="1" t="s">
        <v>12</v>
      </c>
      <c r="D30" s="1" t="s">
        <v>13</v>
      </c>
      <c r="E30" s="1">
        <v>42</v>
      </c>
      <c r="F30" s="3">
        <v>65</v>
      </c>
    </row>
    <row r="31" spans="1:6" ht="15" thickBot="1" x14ac:dyDescent="0.35">
      <c r="A31" s="16"/>
      <c r="B31" s="17"/>
      <c r="C31" s="17"/>
      <c r="D31" s="17"/>
      <c r="E31" s="17"/>
      <c r="F31" s="18"/>
    </row>
  </sheetData>
  <conditionalFormatting sqref="A15:F1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A5AE-B4E1-4F75-915C-EC88FCCA88A2}">
  <dimension ref="A1:I31"/>
  <sheetViews>
    <sheetView tabSelected="1" zoomScale="195" workbookViewId="0">
      <selection activeCell="C7" sqref="C7"/>
    </sheetView>
  </sheetViews>
  <sheetFormatPr defaultRowHeight="14.4" x14ac:dyDescent="0.3"/>
  <cols>
    <col min="1" max="1" width="9.6640625" customWidth="1"/>
    <col min="2" max="2" width="19.6640625" customWidth="1"/>
    <col min="3" max="3" width="11.21875" customWidth="1"/>
    <col min="4" max="4" width="14.44140625" bestFit="1" customWidth="1"/>
    <col min="5" max="5" width="15.5546875" bestFit="1" customWidth="1"/>
    <col min="6" max="7" width="6" bestFit="1" customWidth="1"/>
    <col min="8" max="8" width="10.5546875" bestFit="1" customWidth="1"/>
    <col min="9" max="9" width="11" customWidth="1"/>
    <col min="10" max="10" width="11.44140625" customWidth="1"/>
    <col min="11" max="11" width="10.88671875" customWidth="1"/>
    <col min="12" max="12" width="10.6640625" customWidth="1"/>
    <col min="13" max="13" width="17.33203125" customWidth="1"/>
  </cols>
  <sheetData>
    <row r="1" spans="1:9" x14ac:dyDescent="0.3">
      <c r="A1" s="35"/>
      <c r="B1" s="35"/>
      <c r="C1" s="35"/>
      <c r="D1" s="35"/>
      <c r="E1" s="35"/>
      <c r="F1" s="35"/>
      <c r="G1" s="36"/>
      <c r="H1" s="36"/>
      <c r="I1" s="37"/>
    </row>
    <row r="2" spans="1:9" ht="15" thickBot="1" x14ac:dyDescent="0.35">
      <c r="A2" s="38"/>
      <c r="B2" s="38"/>
      <c r="C2" s="38"/>
      <c r="D2" s="38"/>
      <c r="E2" s="38"/>
      <c r="F2" s="38"/>
      <c r="G2" s="36"/>
      <c r="H2" s="36"/>
      <c r="I2" s="37"/>
    </row>
    <row r="3" spans="1:9" ht="15" thickBot="1" x14ac:dyDescent="0.35">
      <c r="A3" s="10" t="s">
        <v>27</v>
      </c>
      <c r="B3" s="12" t="s">
        <v>28</v>
      </c>
      <c r="C3" s="35"/>
      <c r="D3" s="32" t="s">
        <v>32</v>
      </c>
      <c r="E3" s="32" t="s">
        <v>31</v>
      </c>
      <c r="I3" s="37"/>
    </row>
    <row r="4" spans="1:9" x14ac:dyDescent="0.3">
      <c r="A4" s="7" t="s">
        <v>8</v>
      </c>
      <c r="B4" s="9">
        <f>COUNTIFS(Clean!$D$4:$D$15,A4,Clean!$H$4:$H$15,1)</f>
        <v>3</v>
      </c>
      <c r="C4" s="38"/>
      <c r="D4" s="32" t="s">
        <v>29</v>
      </c>
      <c r="E4" t="s">
        <v>6</v>
      </c>
      <c r="F4" t="s">
        <v>14</v>
      </c>
      <c r="G4" t="s">
        <v>15</v>
      </c>
      <c r="H4" t="s">
        <v>30</v>
      </c>
      <c r="I4" s="37"/>
    </row>
    <row r="5" spans="1:9" x14ac:dyDescent="0.3">
      <c r="A5" s="2" t="s">
        <v>10</v>
      </c>
      <c r="B5" s="3">
        <f>COUNTIFS(Clean!$D$4:$D$15,A5,Clean!$H$4:$H$15,1)</f>
        <v>3</v>
      </c>
      <c r="C5" s="38"/>
      <c r="D5" s="33" t="s">
        <v>19</v>
      </c>
      <c r="E5" s="34">
        <v>58.5</v>
      </c>
      <c r="F5" s="34">
        <v>67.5</v>
      </c>
      <c r="G5" s="34">
        <v>75</v>
      </c>
      <c r="H5" s="34">
        <v>67</v>
      </c>
      <c r="I5" s="37"/>
    </row>
    <row r="6" spans="1:9" ht="15" thickBot="1" x14ac:dyDescent="0.35">
      <c r="A6" s="4" t="s">
        <v>13</v>
      </c>
      <c r="B6" s="6">
        <f>COUNTIFS(Clean!$D$4:$D$15,A6,Clean!$H$4:$H$15,1)</f>
        <v>2</v>
      </c>
      <c r="C6" s="38"/>
      <c r="D6" s="33" t="s">
        <v>22</v>
      </c>
      <c r="E6" s="34">
        <v>51.5</v>
      </c>
      <c r="F6" s="34">
        <v>58</v>
      </c>
      <c r="G6" s="34">
        <v>58.5</v>
      </c>
      <c r="H6" s="34">
        <v>56</v>
      </c>
      <c r="I6" s="37"/>
    </row>
    <row r="7" spans="1:9" x14ac:dyDescent="0.3">
      <c r="A7" s="38"/>
      <c r="B7" s="38"/>
      <c r="C7" s="38"/>
      <c r="D7" s="33" t="s">
        <v>30</v>
      </c>
      <c r="E7" s="34">
        <v>55</v>
      </c>
      <c r="F7" s="34">
        <v>62.75</v>
      </c>
      <c r="G7" s="34">
        <v>66.75</v>
      </c>
      <c r="H7" s="34">
        <v>61.5</v>
      </c>
      <c r="I7" s="37"/>
    </row>
    <row r="8" spans="1:9" x14ac:dyDescent="0.3">
      <c r="A8" s="38"/>
      <c r="B8" s="38"/>
      <c r="C8" s="38"/>
      <c r="D8" s="37"/>
      <c r="E8" s="37"/>
      <c r="F8" s="37"/>
      <c r="G8" s="38"/>
      <c r="H8" s="38"/>
      <c r="I8" s="37"/>
    </row>
    <row r="9" spans="1:9" x14ac:dyDescent="0.3">
      <c r="A9" s="14"/>
      <c r="B9" s="14"/>
      <c r="C9" s="14"/>
      <c r="E9" s="37"/>
      <c r="F9" s="37"/>
      <c r="G9" s="38"/>
      <c r="H9" s="38"/>
      <c r="I9" s="37"/>
    </row>
    <row r="10" spans="1:9" x14ac:dyDescent="0.3">
      <c r="A10" s="14"/>
      <c r="B10" s="14"/>
      <c r="C10" s="14"/>
      <c r="E10" s="37"/>
      <c r="F10" s="37"/>
      <c r="G10" s="38"/>
      <c r="H10" s="38"/>
      <c r="I10" s="37"/>
    </row>
    <row r="11" spans="1:9" x14ac:dyDescent="0.3">
      <c r="A11" s="14"/>
      <c r="B11" s="14"/>
      <c r="C11" s="14"/>
      <c r="E11" s="37"/>
      <c r="F11" s="37"/>
      <c r="G11" s="38"/>
      <c r="H11" s="38"/>
      <c r="I11" s="37"/>
    </row>
    <row r="12" spans="1:9" x14ac:dyDescent="0.3">
      <c r="A12" s="14"/>
      <c r="B12" s="14"/>
      <c r="C12" s="14"/>
      <c r="E12" s="37"/>
      <c r="F12" s="37"/>
      <c r="G12" s="38"/>
      <c r="H12" s="38"/>
      <c r="I12" s="37"/>
    </row>
    <row r="13" spans="1:9" x14ac:dyDescent="0.3">
      <c r="A13" s="14"/>
      <c r="B13" s="14"/>
      <c r="C13" s="14"/>
      <c r="E13" s="37"/>
      <c r="F13" s="37"/>
      <c r="G13" s="38"/>
      <c r="H13" s="38"/>
      <c r="I13" s="37"/>
    </row>
    <row r="14" spans="1:9" x14ac:dyDescent="0.3">
      <c r="A14" s="14"/>
      <c r="B14" s="14"/>
      <c r="C14" s="14"/>
      <c r="E14" s="37"/>
      <c r="F14" s="37"/>
      <c r="G14" s="38"/>
      <c r="H14" s="38"/>
      <c r="I14" s="37"/>
    </row>
    <row r="15" spans="1:9" x14ac:dyDescent="0.3">
      <c r="A15" s="14"/>
      <c r="B15" s="14"/>
      <c r="C15" s="14"/>
      <c r="E15" s="37"/>
      <c r="F15" s="37"/>
      <c r="G15" s="38"/>
      <c r="H15" s="38"/>
      <c r="I15" s="37"/>
    </row>
    <row r="16" spans="1:9" x14ac:dyDescent="0.3">
      <c r="A16" s="14"/>
      <c r="B16" s="14"/>
      <c r="C16" s="14"/>
      <c r="E16" s="37"/>
      <c r="F16" s="37"/>
      <c r="G16" s="36"/>
      <c r="H16" s="38"/>
      <c r="I16" s="37"/>
    </row>
    <row r="17" spans="1:9" x14ac:dyDescent="0.3">
      <c r="A17" s="31"/>
      <c r="B17" s="31"/>
      <c r="C17" s="31"/>
      <c r="E17" s="37"/>
      <c r="F17" s="37"/>
      <c r="G17" s="36"/>
      <c r="H17" s="36"/>
      <c r="I17" s="37"/>
    </row>
    <row r="18" spans="1:9" x14ac:dyDescent="0.3">
      <c r="A18" s="13"/>
      <c r="B18" s="13"/>
      <c r="C18" s="13"/>
      <c r="E18" s="37"/>
      <c r="F18" s="37"/>
      <c r="G18" s="36"/>
      <c r="H18" s="36"/>
      <c r="I18" s="37"/>
    </row>
    <row r="19" spans="1:9" x14ac:dyDescent="0.3">
      <c r="A19" s="14"/>
      <c r="B19" s="14"/>
      <c r="C19" s="14"/>
      <c r="E19" s="37"/>
      <c r="F19" s="37"/>
      <c r="G19" s="36"/>
      <c r="H19" s="36"/>
      <c r="I19" s="37"/>
    </row>
    <row r="20" spans="1:9" x14ac:dyDescent="0.3">
      <c r="A20" s="14"/>
      <c r="B20" s="14"/>
      <c r="C20" s="14"/>
      <c r="E20" s="37"/>
      <c r="F20" s="37"/>
      <c r="G20" s="36"/>
      <c r="H20" s="36"/>
      <c r="I20" s="37"/>
    </row>
    <row r="21" spans="1:9" x14ac:dyDescent="0.3">
      <c r="A21" s="14"/>
      <c r="B21" s="14"/>
      <c r="C21" s="14"/>
      <c r="D21" s="14"/>
      <c r="E21" s="38"/>
      <c r="F21" s="38"/>
      <c r="G21" s="36"/>
      <c r="H21" s="36"/>
      <c r="I21" s="37"/>
    </row>
    <row r="22" spans="1:9" x14ac:dyDescent="0.3">
      <c r="A22" s="14"/>
      <c r="B22" s="14"/>
      <c r="C22" s="14"/>
      <c r="D22" s="14"/>
      <c r="E22" s="38"/>
      <c r="F22" s="38"/>
      <c r="G22" s="36"/>
      <c r="H22" s="36"/>
      <c r="I22" s="37"/>
    </row>
    <row r="23" spans="1:9" x14ac:dyDescent="0.3">
      <c r="A23" s="14"/>
      <c r="B23" s="14"/>
      <c r="C23" s="14"/>
      <c r="D23" s="14"/>
      <c r="E23" s="38"/>
      <c r="F23" s="38"/>
      <c r="G23" s="36"/>
      <c r="H23" s="36"/>
      <c r="I23" s="37"/>
    </row>
    <row r="24" spans="1:9" x14ac:dyDescent="0.3">
      <c r="A24" s="38"/>
      <c r="B24" s="38"/>
      <c r="C24" s="38"/>
      <c r="D24" s="38"/>
      <c r="E24" s="38"/>
      <c r="F24" s="38"/>
      <c r="G24" s="36"/>
      <c r="H24" s="36"/>
      <c r="I24" s="37"/>
    </row>
    <row r="25" spans="1:9" x14ac:dyDescent="0.3">
      <c r="A25" s="38"/>
      <c r="B25" s="38"/>
      <c r="C25" s="38"/>
      <c r="D25" s="38"/>
      <c r="E25" s="38"/>
      <c r="F25" s="38"/>
      <c r="G25" s="36"/>
      <c r="H25" s="36"/>
      <c r="I25" s="37"/>
    </row>
    <row r="26" spans="1:9" x14ac:dyDescent="0.3">
      <c r="A26" s="14"/>
      <c r="B26" s="14"/>
      <c r="C26" s="14"/>
      <c r="D26" s="14"/>
      <c r="E26" s="14"/>
      <c r="F26" s="14"/>
      <c r="G26" s="31"/>
      <c r="H26" s="31"/>
    </row>
    <row r="27" spans="1:9" x14ac:dyDescent="0.3">
      <c r="A27" s="14"/>
      <c r="B27" s="14"/>
      <c r="C27" s="14"/>
      <c r="D27" s="14"/>
      <c r="E27" s="14"/>
      <c r="F27" s="14"/>
      <c r="G27" s="31"/>
      <c r="H27" s="31"/>
    </row>
    <row r="28" spans="1:9" x14ac:dyDescent="0.3">
      <c r="A28" s="14"/>
      <c r="B28" s="14"/>
      <c r="C28" s="14"/>
      <c r="D28" s="14"/>
      <c r="E28" s="14"/>
      <c r="F28" s="14"/>
      <c r="G28" s="31"/>
      <c r="H28" s="31"/>
    </row>
    <row r="29" spans="1:9" x14ac:dyDescent="0.3">
      <c r="A29" s="14"/>
      <c r="B29" s="14"/>
      <c r="C29" s="14"/>
      <c r="D29" s="14"/>
      <c r="E29" s="14"/>
      <c r="F29" s="14"/>
      <c r="G29" s="31"/>
      <c r="H29" s="31"/>
    </row>
    <row r="30" spans="1:9" x14ac:dyDescent="0.3">
      <c r="A30" s="14"/>
      <c r="B30" s="14"/>
      <c r="C30" s="14"/>
      <c r="D30" s="14"/>
      <c r="E30" s="14"/>
      <c r="F30" s="14"/>
      <c r="G30" s="31"/>
      <c r="H30" s="31"/>
    </row>
    <row r="31" spans="1:9" x14ac:dyDescent="0.3">
      <c r="A31" s="31"/>
      <c r="B31" s="31"/>
      <c r="C31" s="31"/>
      <c r="D31" s="31"/>
      <c r="E31" s="31"/>
      <c r="F31" s="31"/>
      <c r="G31" s="31"/>
      <c r="H31" s="31"/>
    </row>
  </sheetData>
  <conditionalFormatting sqref="A15:C16">
    <cfRule type="duplicateValues" dxfId="2" priority="2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guptarajubhai636@gmail.com</dc:creator>
  <cp:lastModifiedBy>guptarajubhai636@gmail.com</cp:lastModifiedBy>
  <dcterms:created xsi:type="dcterms:W3CDTF">2026-09-26T13:37:08Z</dcterms:created>
  <dcterms:modified xsi:type="dcterms:W3CDTF">2026-09-26T14:08:02Z</dcterms:modified>
</cp:coreProperties>
</file>